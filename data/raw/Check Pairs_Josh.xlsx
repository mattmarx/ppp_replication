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928"/>
  <workbookPr/>
  <mc:AlternateContent xmlns:mc="http://schemas.openxmlformats.org/markup-compatibility/2006">
    <mc:Choice Requires="x15">
      <x15ac:absPath xmlns:x15ac="http://schemas.microsoft.com/office/spreadsheetml/2010/11/ac" url="C:\Users\jc2568\Desktop\"/>
    </mc:Choice>
  </mc:AlternateContent>
  <xr:revisionPtr revIDLastSave="0" documentId="13_ncr:1_{D202EB40-B1F7-4039-9C3F-8DEB70B9BB9C}" xr6:coauthVersionLast="47" xr6:coauthVersionMax="47" xr10:uidLastSave="{00000000-0000-0000-0000-000000000000}"/>
  <bookViews>
    <workbookView xWindow="-2385" yWindow="-16320" windowWidth="38640" windowHeight="158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 i="1"/>
</calcChain>
</file>

<file path=xl/sharedStrings.xml><?xml version="1.0" encoding="utf-8"?>
<sst xmlns="http://schemas.openxmlformats.org/spreadsheetml/2006/main" count="84" uniqueCount="84">
  <si>
    <t>original_index</t>
  </si>
  <si>
    <t>magid</t>
  </si>
  <si>
    <t>patent</t>
  </si>
  <si>
    <t>title</t>
  </si>
  <si>
    <t>Patent-paper pair
(Confidence level 0 to 5)</t>
  </si>
  <si>
    <t>Coverage
(2- full, 1- partial, 0- not a PPP)</t>
  </si>
  <si>
    <t>US-8124751</t>
  </si>
  <si>
    <t>selective cell death mediated by small conditional rnas</t>
  </si>
  <si>
    <t>US-5898094</t>
  </si>
  <si>
    <t>amyloid β protein aβ deposition in chromosome 14 linked alzheimer s disease predominance of aβ42 43</t>
  </si>
  <si>
    <t>US-8445513</t>
  </si>
  <si>
    <t>improvement of motor function in early parkinson disease by safinamide</t>
  </si>
  <si>
    <t>US-10226445</t>
  </si>
  <si>
    <t>multi parametric approach to identify coffee components that regulate mechanisms of gastric acid secretion</t>
  </si>
  <si>
    <t>US-8685673</t>
  </si>
  <si>
    <t>functional characterization and substrate specificity of spinosyn rhamnosyltransferase by in vitro reconstitution of spinosyn biosynthetic enzymes</t>
  </si>
  <si>
    <t>US-9441235</t>
  </si>
  <si>
    <t>advances in modifying lignin for enhanced biofuel production</t>
  </si>
  <si>
    <t>US-8688427</t>
  </si>
  <si>
    <t>de novo computational design of retro aldol enzymes</t>
  </si>
  <si>
    <t>US-6316208</t>
  </si>
  <si>
    <t>enhanced growth of mice lacking the cyclin dependent kinase inhibitor function of p27kip1</t>
  </si>
  <si>
    <t>US-4780451</t>
  </si>
  <si>
    <t>estimation of superovulation response in donor cows</t>
  </si>
  <si>
    <t>US-6676927</t>
  </si>
  <si>
    <t>uncoupling of immune complex formation and kidney damage in autoimmune glomerulonephritis</t>
  </si>
  <si>
    <t>US-8540984</t>
  </si>
  <si>
    <t>enhancing thermostability of escherichia coli phytase appa2 by error prone pcr</t>
  </si>
  <si>
    <t>US-8222267</t>
  </si>
  <si>
    <t>h6 2 dual opioids morphine oxycodon provide analgesia with reduced side effects in acute surgical pain</t>
  </si>
  <si>
    <t>US-6670323</t>
  </si>
  <si>
    <t>reduced nitric oxide reactivity of a new recombinant human hemoglobin attenuates gastric dysmotility</t>
  </si>
  <si>
    <t>US-9926602</t>
  </si>
  <si>
    <t>antibody independent targeted quantification of tmprss2 erg fusion protein products in prostate cancer</t>
  </si>
  <si>
    <t>US-6497872</t>
  </si>
  <si>
    <t>bfgf regulates the proliferative fate of unipotent neuronal and bipotent neuronal astroglial egf generated cns progenitor cells</t>
  </si>
  <si>
    <t>US-7439060</t>
  </si>
  <si>
    <t>stable human immunodeficiency virus type 1 hiv 1 resistance in transformed cd4 monocytic cells treated with multitargeting hiv 1 antisense sequences incorporated into u1 snrna</t>
  </si>
  <si>
    <t>US-7705138</t>
  </si>
  <si>
    <t>clinical significance of in vitro replication enhancing mutations of the hepatitis c virus hcv replicon in patients with chronic hcv infection</t>
  </si>
  <si>
    <t>US-8097454</t>
  </si>
  <si>
    <t>gli2 is targeted for ubiquitination and degradation by β trcp ubiquitin ligase</t>
  </si>
  <si>
    <t>US-10815298</t>
  </si>
  <si>
    <t>host genetics predict clinical deterioration in hcv related cirrhosis</t>
  </si>
  <si>
    <t>US-10125392</t>
  </si>
  <si>
    <t>accurate whole genome sequencing and haplotyping from 10 to 20 human cells</t>
  </si>
  <si>
    <t>US-8263054</t>
  </si>
  <si>
    <t>bimatoprost effects on aqueous humor dynamics in monkeys</t>
  </si>
  <si>
    <t>US-7601684</t>
  </si>
  <si>
    <t>biochemical markers and hematologic indices in the diagnosis of functional iron deficiency</t>
  </si>
  <si>
    <t>US-10174095</t>
  </si>
  <si>
    <t>t cells expressing chimeric antigen receptors can cause anaphylaxis in humans</t>
  </si>
  <si>
    <t>US-7897328</t>
  </si>
  <si>
    <t>anti pig antibody adsorption efficacy of α gal carrying recombinant p selectin glycoprotein ligand 1 immunoglobulin chimeras increases with core 2 β1 6 n acetylglucosaminyltransferase expression</t>
  </si>
  <si>
    <t>US-7928057</t>
  </si>
  <si>
    <t>inhibition of nuclear import of calcineurin prevents myocardial hypertrophy</t>
  </si>
  <si>
    <t>2075077797</t>
  </si>
  <si>
    <t>Josh Notes</t>
  </si>
  <si>
    <t>scores high because the pub identifies the mutant and the pat patents the mouse model containing the mutation</t>
  </si>
  <si>
    <t>this only scored this high because I read additional information in pub and pat; discusses related mechanisms</t>
  </si>
  <si>
    <t>Content overlap (0 to 3)</t>
  </si>
  <si>
    <t>paper characterizes an enzyme from one baterium that does not overlap with pat. Further, the metal ion is not required for expression; patent does not discuss the same enzyme, expresses in a different strain and requires a metal ion</t>
  </si>
  <si>
    <t>paper talks about the computational method to design enzymes; patent appears to be presenting the computational approach as the invention - I may be misinterpreting this one</t>
  </si>
  <si>
    <t>the topic of superovulation is the same, but the paper talks about how to estimate the number of superovulation cows and the patent seems to discuss how to produce superovulating cattle</t>
  </si>
  <si>
    <t>both pub and pat discuss thermostability of the phytase enzyme and the potential purpose for the enzyme in phosphorus nutrition</t>
  </si>
  <si>
    <t>both pub and pat mention moxduo, which is the name given to the method of using dual opiods</t>
  </si>
  <si>
    <t xml:space="preserve">for the most part the two are very similar; what makes them different is the proteins they are targeting is different. They don't seem to be patenting the process, but the genes (or proteins) that are targeted for identification </t>
  </si>
  <si>
    <t>this one is difficult; the paper describes the cell line capable of being stable in the presence of HIV-1, but the patent only mentions the cell line U937 once as a 'selected' group but does not elaborate on how it is use if at all; I feel like this should score higher, but I cannot justify it</t>
  </si>
  <si>
    <t>there is a lot of overlap, but I was looking for the mouse model in the paper to be in the patent as well; the inventor describes features that may be related to the mouse in the paper, but falls short of naming the mouse model explicitly</t>
  </si>
  <si>
    <t>it seems the patent is using this paper as background, not really as the main driver for the invention; there is no clear "we found this in the paper and this motivated us to invent…"</t>
  </si>
  <si>
    <t>while most of the patent looks at a broader goal, bFGF is added to a medium that directly impacts this goal, which is increasing the proliferation of stem cells and their progeny - this is discussed in paper</t>
  </si>
  <si>
    <t>there is no guess work here - this is a ppp</t>
  </si>
  <si>
    <t>abstract overlap is minimal and the content was somewhat difficult to discern; I think the paper describes the outcome of the specific research, but the patent is related to how they prepared the dna. But I'm finding it hard to say absolute yes</t>
  </si>
  <si>
    <t>difficult pair to tease apart; the paper is determine the effects bimatoprost has on intraocular pressure of the eyes in monkeys, while the patent is appyling the solution to eyelashes. It's not clear if the results from the paper directly lead to the application of the solution to eyelashes</t>
  </si>
  <si>
    <t>paper discusses the identification of components in the body that differentiates disease, whereas the patent utilizes the results to develop the invention</t>
  </si>
  <si>
    <t>abstracts do not directly overlap, but close enough; I had to dig for this one, but the risk of anaphylaxis identified in the publication is a concern mentioned in the patent, but not the primary driver for the patent - it simply mentions this is a risk and should be monitored</t>
  </si>
  <si>
    <t>difficult read for both pub and pat; I think what is happening is the side chains for sugars were id in pub and the pat utilize that information for developing the diagnostic approach/therapeutic app; I would go with the scoring from algorithm on this one</t>
  </si>
  <si>
    <t>the abstracts/titles do not overlap much, but the peptide sequence in the pub is specifically noted in the patent AND part of a kit that inventor states is related to the present invention</t>
  </si>
  <si>
    <t>discusses two different diseases, but the possibility of treating with the same drug; not enough overlap in discussion</t>
  </si>
  <si>
    <t>paper is tring to identify substances that increase or decrease acid production; patent looks at the preparation of those substances, primarily caffeine, which is what connects these two papers</t>
  </si>
  <si>
    <t>paper discusses the modification of lignin to ease lignin degradation leading to higher biofuel production; patent isolates a cDNA sequence encoding an enzyme that does not appear in publication, making the connection is difficult to find</t>
  </si>
  <si>
    <t>the topic between paper and patent is the same, the patent is discussing the purification of the enzyme in paper; abstract in patent is limited and the body does not overlap well with paper</t>
  </si>
  <si>
    <t>the abstracts show little realtionship, there is no discussion of NO in the patent abstract; however, hemoglobin impacts are discussed in both. After reading the patent, the mutants created in the paper are proposed in the patent as examples. Basically the positive impacts observed in the paper is the basis for the patent</t>
  </si>
  <si>
    <t>paper identifies mutations, none of which the patent cites to support their invention - paper also not cited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</si>
</sst>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charset val="134"/>
      <scheme val="minor"/>
    </font>
    <font>
      <sz val="11"/>
      <color theme="1"/>
      <name val="Calibri"/>
      <family val="2"/>
      <scheme val="minor"/>
    </font>
    <font>
      <b/>
      <sz val="11"/>
      <name val="Calibri"/>
      <charset val="134"/>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s>
  <cellStyleXfs count="1">
    <xf numFmtId="0" fontId="0" fillId="0" borderId="0">
      <alignment vertical="center"/>
    </xf>
  </cellStyleXfs>
  <cellXfs count="8">
    <xf numFmtId="0" fontId="0" fillId="0" borderId="0" xfId="0">
      <alignment vertical="center"/>
    </xf>
    <xf numFmtId="49" fontId="0" fillId="0" borderId="0" xfId="0" applyNumberFormat="1">
      <alignment vertical="center"/>
    </xf>
    <xf numFmtId="0" fontId="2" fillId="0" borderId="1" xfId="0" applyFont="1" applyBorder="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49" fontId="1" fillId="0" borderId="0" xfId="0" applyNumberFormat="1" applyFont="1">
      <alignment vertical="center"/>
    </xf>
    <xf numFmtId="0" fontId="0" fillId="0" borderId="0" xfId="0" applyAlignment="1">
      <alignment horizontal="right" vertical="center"/>
    </xf>
    <xf numFmtId="49" fontId="0" fillId="0" borderId="0" xfId="0" applyNumberFormat="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6"/>
  <sheetViews>
    <sheetView tabSelected="1" zoomScale="130" zoomScaleNormal="130" workbookViewId="0">
      <pane ySplit="1" topLeftCell="A11" activePane="bottomLeft" state="frozen"/>
      <selection pane="bottomLeft" activeCell="I26" sqref="I26"/>
    </sheetView>
  </sheetViews>
  <sheetFormatPr defaultColWidth="8.77734375" defaultRowHeight="14.4"/>
  <cols>
    <col min="2" max="2" width="11.77734375"/>
  </cols>
  <sheetData>
    <row r="1" spans="1:9" ht="88.5" customHeight="1">
      <c r="A1" s="2" t="s">
        <v>0</v>
      </c>
      <c r="B1" s="2" t="s">
        <v>1</v>
      </c>
      <c r="C1" s="2" t="s">
        <v>2</v>
      </c>
      <c r="D1" s="2" t="s">
        <v>3</v>
      </c>
      <c r="E1" s="3" t="s">
        <v>60</v>
      </c>
      <c r="F1" s="3" t="s">
        <v>4</v>
      </c>
      <c r="G1" s="3" t="s">
        <v>5</v>
      </c>
      <c r="I1" s="4" t="s">
        <v>57</v>
      </c>
    </row>
    <row r="2" spans="1:9" s="1" customFormat="1">
      <c r="A2" s="1">
        <v>819</v>
      </c>
      <c r="B2" s="1" t="s">
        <v>56</v>
      </c>
      <c r="C2" s="1" t="s">
        <v>6</v>
      </c>
      <c r="D2" s="1" t="s">
        <v>7</v>
      </c>
      <c r="E2" s="6">
        <v>2</v>
      </c>
      <c r="F2" s="6">
        <v>4</v>
      </c>
      <c r="G2" s="6">
        <v>1</v>
      </c>
      <c r="H2" s="6">
        <f>SUM(E2:G2)</f>
        <v>7</v>
      </c>
      <c r="I2" s="5" t="s">
        <v>59</v>
      </c>
    </row>
    <row r="3" spans="1:9" s="1" customFormat="1">
      <c r="A3" s="1">
        <v>830</v>
      </c>
      <c r="B3" s="1">
        <v>2076606883</v>
      </c>
      <c r="C3" s="1" t="s">
        <v>8</v>
      </c>
      <c r="D3" s="5" t="s">
        <v>9</v>
      </c>
      <c r="E3" s="6">
        <v>2</v>
      </c>
      <c r="F3" s="7">
        <v>5</v>
      </c>
      <c r="G3" s="6">
        <v>2</v>
      </c>
      <c r="H3" s="6">
        <f t="shared" ref="H3:H26" si="0">SUM(E3:G3)</f>
        <v>9</v>
      </c>
      <c r="I3" s="1" t="s">
        <v>58</v>
      </c>
    </row>
    <row r="4" spans="1:9" s="1" customFormat="1">
      <c r="A4" s="1">
        <v>835</v>
      </c>
      <c r="B4" s="1">
        <v>2077571014</v>
      </c>
      <c r="C4" s="1" t="s">
        <v>10</v>
      </c>
      <c r="D4" s="1" t="s">
        <v>11</v>
      </c>
      <c r="E4" s="6">
        <v>0</v>
      </c>
      <c r="F4" s="6">
        <v>1</v>
      </c>
      <c r="G4" s="6">
        <v>0</v>
      </c>
      <c r="H4" s="6">
        <f t="shared" si="0"/>
        <v>1</v>
      </c>
      <c r="I4" s="1" t="s">
        <v>78</v>
      </c>
    </row>
    <row r="5" spans="1:9" s="1" customFormat="1">
      <c r="A5" s="1">
        <v>839</v>
      </c>
      <c r="B5" s="1">
        <v>2078698920</v>
      </c>
      <c r="C5" s="1" t="s">
        <v>12</v>
      </c>
      <c r="D5" s="1" t="s">
        <v>13</v>
      </c>
      <c r="E5" s="6">
        <v>1</v>
      </c>
      <c r="F5" s="6">
        <v>3</v>
      </c>
      <c r="G5" s="6">
        <v>1</v>
      </c>
      <c r="H5" s="6">
        <f t="shared" si="0"/>
        <v>5</v>
      </c>
      <c r="I5" s="1" t="s">
        <v>79</v>
      </c>
    </row>
    <row r="6" spans="1:9" s="1" customFormat="1">
      <c r="A6" s="1">
        <v>859</v>
      </c>
      <c r="B6" s="1">
        <v>2081912369</v>
      </c>
      <c r="C6" s="1" t="s">
        <v>14</v>
      </c>
      <c r="D6" s="1" t="s">
        <v>15</v>
      </c>
      <c r="E6" s="6">
        <v>0</v>
      </c>
      <c r="F6" s="6">
        <v>0</v>
      </c>
      <c r="G6" s="6">
        <v>0</v>
      </c>
      <c r="H6" s="6">
        <f t="shared" si="0"/>
        <v>0</v>
      </c>
      <c r="I6" s="1" t="s">
        <v>61</v>
      </c>
    </row>
    <row r="7" spans="1:9" s="1" customFormat="1">
      <c r="A7" s="1">
        <v>860</v>
      </c>
      <c r="B7" s="1">
        <v>2081997109</v>
      </c>
      <c r="C7" s="1" t="s">
        <v>16</v>
      </c>
      <c r="D7" s="1" t="s">
        <v>17</v>
      </c>
      <c r="E7" s="6">
        <v>1</v>
      </c>
      <c r="F7" s="6">
        <v>1</v>
      </c>
      <c r="G7" s="6">
        <v>0</v>
      </c>
      <c r="H7" s="6">
        <f t="shared" si="0"/>
        <v>2</v>
      </c>
      <c r="I7" s="1" t="s">
        <v>80</v>
      </c>
    </row>
    <row r="8" spans="1:9" s="1" customFormat="1">
      <c r="A8" s="1">
        <v>861</v>
      </c>
      <c r="B8" s="1">
        <v>2082260955</v>
      </c>
      <c r="C8" s="1" t="s">
        <v>18</v>
      </c>
      <c r="D8" s="1" t="s">
        <v>19</v>
      </c>
      <c r="E8" s="6">
        <v>3</v>
      </c>
      <c r="F8" s="6">
        <v>4</v>
      </c>
      <c r="G8" s="6">
        <v>2</v>
      </c>
      <c r="H8" s="6">
        <f t="shared" si="0"/>
        <v>9</v>
      </c>
      <c r="I8" s="1" t="s">
        <v>62</v>
      </c>
    </row>
    <row r="9" spans="1:9" s="1" customFormat="1">
      <c r="A9" s="1">
        <v>868</v>
      </c>
      <c r="B9" s="1">
        <v>2083561654</v>
      </c>
      <c r="C9" s="1" t="s">
        <v>20</v>
      </c>
      <c r="D9" s="1" t="s">
        <v>21</v>
      </c>
      <c r="E9" s="6">
        <v>0</v>
      </c>
      <c r="F9" s="6">
        <v>4</v>
      </c>
      <c r="G9" s="6">
        <v>2</v>
      </c>
      <c r="H9" s="6">
        <f t="shared" si="0"/>
        <v>6</v>
      </c>
      <c r="I9" s="1" t="s">
        <v>81</v>
      </c>
    </row>
    <row r="10" spans="1:9" s="1" customFormat="1">
      <c r="A10" s="1">
        <v>871</v>
      </c>
      <c r="B10" s="1">
        <v>2083829609</v>
      </c>
      <c r="C10" s="1" t="s">
        <v>22</v>
      </c>
      <c r="D10" s="1" t="s">
        <v>23</v>
      </c>
      <c r="E10" s="6">
        <v>2</v>
      </c>
      <c r="F10" s="6">
        <v>2</v>
      </c>
      <c r="G10" s="6">
        <v>0</v>
      </c>
      <c r="H10" s="6">
        <f t="shared" si="0"/>
        <v>4</v>
      </c>
      <c r="I10" s="1" t="s">
        <v>63</v>
      </c>
    </row>
    <row r="11" spans="1:9" s="1" customFormat="1">
      <c r="A11" s="1">
        <v>875</v>
      </c>
      <c r="B11" s="1">
        <v>2085406842</v>
      </c>
      <c r="C11" s="1" t="s">
        <v>24</v>
      </c>
      <c r="D11" s="1" t="s">
        <v>25</v>
      </c>
      <c r="E11" s="6">
        <v>3</v>
      </c>
      <c r="F11" s="6">
        <v>4</v>
      </c>
      <c r="G11" s="6">
        <v>2</v>
      </c>
      <c r="H11" s="6">
        <f t="shared" si="0"/>
        <v>9</v>
      </c>
      <c r="I11" s="1" t="s">
        <v>68</v>
      </c>
    </row>
    <row r="12" spans="1:9" s="1" customFormat="1">
      <c r="A12" s="1">
        <v>881</v>
      </c>
      <c r="B12" s="1">
        <v>2087235930</v>
      </c>
      <c r="C12" s="1" t="s">
        <v>26</v>
      </c>
      <c r="D12" s="1" t="s">
        <v>27</v>
      </c>
      <c r="E12" s="6">
        <v>3</v>
      </c>
      <c r="F12" s="6">
        <v>5</v>
      </c>
      <c r="G12" s="6">
        <v>2</v>
      </c>
      <c r="H12" s="6">
        <f t="shared" si="0"/>
        <v>10</v>
      </c>
      <c r="I12" s="1" t="s">
        <v>64</v>
      </c>
    </row>
    <row r="13" spans="1:9" s="1" customFormat="1">
      <c r="A13" s="1">
        <v>890</v>
      </c>
      <c r="B13" s="1">
        <v>2089619572</v>
      </c>
      <c r="C13" s="1" t="s">
        <v>28</v>
      </c>
      <c r="D13" s="1" t="s">
        <v>29</v>
      </c>
      <c r="E13" s="6">
        <v>3</v>
      </c>
      <c r="F13" s="6">
        <v>5</v>
      </c>
      <c r="G13" s="6">
        <v>2</v>
      </c>
      <c r="H13" s="6">
        <f t="shared" si="0"/>
        <v>10</v>
      </c>
      <c r="I13" s="1" t="s">
        <v>65</v>
      </c>
    </row>
    <row r="14" spans="1:9" s="1" customFormat="1">
      <c r="A14" s="1">
        <v>903</v>
      </c>
      <c r="B14" s="1">
        <v>2090909266</v>
      </c>
      <c r="C14" s="1" t="s">
        <v>30</v>
      </c>
      <c r="D14" s="1" t="s">
        <v>31</v>
      </c>
      <c r="E14" s="6">
        <v>1</v>
      </c>
      <c r="F14" s="6">
        <v>5</v>
      </c>
      <c r="G14" s="6">
        <v>2</v>
      </c>
      <c r="H14" s="6">
        <f t="shared" si="0"/>
        <v>8</v>
      </c>
      <c r="I14" s="1" t="s">
        <v>82</v>
      </c>
    </row>
    <row r="15" spans="1:9" s="1" customFormat="1">
      <c r="A15" s="1">
        <v>914</v>
      </c>
      <c r="B15" s="1">
        <v>2092537604</v>
      </c>
      <c r="C15" s="1" t="s">
        <v>32</v>
      </c>
      <c r="D15" s="1" t="s">
        <v>33</v>
      </c>
      <c r="E15" s="6">
        <v>3</v>
      </c>
      <c r="F15" s="6">
        <v>4</v>
      </c>
      <c r="G15" s="6">
        <v>2</v>
      </c>
      <c r="H15" s="6">
        <f t="shared" si="0"/>
        <v>9</v>
      </c>
      <c r="I15" s="1" t="s">
        <v>66</v>
      </c>
    </row>
    <row r="16" spans="1:9" s="1" customFormat="1">
      <c r="A16" s="1">
        <v>924</v>
      </c>
      <c r="B16" s="1">
        <v>2095129531</v>
      </c>
      <c r="C16" s="1" t="s">
        <v>34</v>
      </c>
      <c r="D16" s="1" t="s">
        <v>35</v>
      </c>
      <c r="E16" s="6">
        <v>3</v>
      </c>
      <c r="F16" s="6">
        <v>5</v>
      </c>
      <c r="G16" s="6">
        <v>2</v>
      </c>
      <c r="H16" s="6">
        <f t="shared" si="0"/>
        <v>10</v>
      </c>
      <c r="I16" s="1" t="s">
        <v>70</v>
      </c>
    </row>
    <row r="17" spans="1:9" s="1" customFormat="1">
      <c r="A17" s="1">
        <v>929</v>
      </c>
      <c r="B17" s="1">
        <v>2096353867</v>
      </c>
      <c r="C17" s="1" t="s">
        <v>36</v>
      </c>
      <c r="D17" s="1" t="s">
        <v>37</v>
      </c>
      <c r="E17" s="6">
        <v>0</v>
      </c>
      <c r="F17" s="6">
        <v>3</v>
      </c>
      <c r="G17" s="6">
        <v>1</v>
      </c>
      <c r="H17" s="6">
        <f t="shared" si="0"/>
        <v>4</v>
      </c>
      <c r="I17" s="1" t="s">
        <v>67</v>
      </c>
    </row>
    <row r="18" spans="1:9" s="1" customFormat="1">
      <c r="A18" s="1">
        <v>942</v>
      </c>
      <c r="B18" s="1">
        <v>2098388624</v>
      </c>
      <c r="C18" s="1" t="s">
        <v>38</v>
      </c>
      <c r="D18" s="1" t="s">
        <v>39</v>
      </c>
      <c r="E18" s="6">
        <v>1</v>
      </c>
      <c r="F18" s="6">
        <v>2</v>
      </c>
      <c r="G18" s="6">
        <v>0</v>
      </c>
      <c r="H18" s="6">
        <f t="shared" si="0"/>
        <v>3</v>
      </c>
      <c r="I18" s="1" t="s">
        <v>69</v>
      </c>
    </row>
    <row r="19" spans="1:9" s="1" customFormat="1">
      <c r="A19" s="1">
        <v>945</v>
      </c>
      <c r="B19" s="1">
        <v>2098679175</v>
      </c>
      <c r="C19" s="1" t="s">
        <v>40</v>
      </c>
      <c r="D19" s="1" t="s">
        <v>41</v>
      </c>
      <c r="E19" s="6">
        <v>3</v>
      </c>
      <c r="F19" s="6">
        <v>5</v>
      </c>
      <c r="G19" s="6">
        <v>2</v>
      </c>
      <c r="H19" s="6">
        <f t="shared" si="0"/>
        <v>10</v>
      </c>
      <c r="I19" s="1" t="s">
        <v>71</v>
      </c>
    </row>
    <row r="20" spans="1:9" s="1" customFormat="1">
      <c r="A20" s="1">
        <v>958</v>
      </c>
      <c r="B20" s="1">
        <v>2100995483</v>
      </c>
      <c r="C20" s="1" t="s">
        <v>42</v>
      </c>
      <c r="D20" s="1" t="s">
        <v>43</v>
      </c>
      <c r="E20" s="6">
        <v>1</v>
      </c>
      <c r="F20" s="6">
        <v>0</v>
      </c>
      <c r="G20" s="6">
        <v>0</v>
      </c>
      <c r="H20" s="6">
        <f t="shared" si="0"/>
        <v>1</v>
      </c>
      <c r="I20" s="1" t="s">
        <v>83</v>
      </c>
    </row>
    <row r="21" spans="1:9" s="1" customFormat="1">
      <c r="A21" s="1">
        <v>963</v>
      </c>
      <c r="B21" s="1">
        <v>2102021831</v>
      </c>
      <c r="C21" s="1" t="s">
        <v>44</v>
      </c>
      <c r="D21" s="1" t="s">
        <v>45</v>
      </c>
      <c r="E21" s="6">
        <v>1</v>
      </c>
      <c r="F21" s="6">
        <v>3</v>
      </c>
      <c r="G21" s="6">
        <v>1</v>
      </c>
      <c r="H21" s="6">
        <f t="shared" si="0"/>
        <v>5</v>
      </c>
      <c r="I21" s="1" t="s">
        <v>72</v>
      </c>
    </row>
    <row r="22" spans="1:9" s="1" customFormat="1">
      <c r="A22" s="1">
        <v>971</v>
      </c>
      <c r="B22" s="1">
        <v>2103696636</v>
      </c>
      <c r="C22" s="1" t="s">
        <v>46</v>
      </c>
      <c r="D22" s="1" t="s">
        <v>47</v>
      </c>
      <c r="E22" s="6">
        <v>1</v>
      </c>
      <c r="F22" s="6">
        <v>3</v>
      </c>
      <c r="G22" s="6">
        <v>1</v>
      </c>
      <c r="H22" s="6">
        <f t="shared" si="0"/>
        <v>5</v>
      </c>
      <c r="I22" s="1" t="s">
        <v>73</v>
      </c>
    </row>
    <row r="23" spans="1:9" s="1" customFormat="1">
      <c r="A23" s="1">
        <v>974</v>
      </c>
      <c r="B23" s="1">
        <v>2104444347</v>
      </c>
      <c r="C23" s="1" t="s">
        <v>48</v>
      </c>
      <c r="D23" s="1" t="s">
        <v>49</v>
      </c>
      <c r="E23" s="6">
        <v>3</v>
      </c>
      <c r="F23" s="6">
        <v>5</v>
      </c>
      <c r="G23" s="6">
        <v>2</v>
      </c>
      <c r="H23" s="6">
        <f t="shared" si="0"/>
        <v>10</v>
      </c>
      <c r="I23" s="1" t="s">
        <v>74</v>
      </c>
    </row>
    <row r="24" spans="1:9" s="1" customFormat="1">
      <c r="A24" s="1">
        <v>976</v>
      </c>
      <c r="B24" s="1">
        <v>2104597364</v>
      </c>
      <c r="C24" s="1" t="s">
        <v>50</v>
      </c>
      <c r="D24" s="1" t="s">
        <v>51</v>
      </c>
      <c r="E24" s="6">
        <v>2</v>
      </c>
      <c r="F24" s="6">
        <v>4</v>
      </c>
      <c r="G24" s="6">
        <v>2</v>
      </c>
      <c r="H24" s="6">
        <f t="shared" si="0"/>
        <v>8</v>
      </c>
      <c r="I24" s="1" t="s">
        <v>75</v>
      </c>
    </row>
    <row r="25" spans="1:9" s="1" customFormat="1">
      <c r="A25" s="1">
        <v>982</v>
      </c>
      <c r="B25" s="1">
        <v>2105570852</v>
      </c>
      <c r="C25" s="1" t="s">
        <v>52</v>
      </c>
      <c r="D25" s="1" t="s">
        <v>53</v>
      </c>
      <c r="E25" s="6">
        <v>0</v>
      </c>
      <c r="F25" s="6">
        <v>3</v>
      </c>
      <c r="G25" s="6">
        <v>1</v>
      </c>
      <c r="H25" s="6">
        <f t="shared" si="0"/>
        <v>4</v>
      </c>
      <c r="I25" s="1" t="s">
        <v>76</v>
      </c>
    </row>
    <row r="26" spans="1:9" s="1" customFormat="1">
      <c r="A26" s="1">
        <v>986</v>
      </c>
      <c r="B26" s="1">
        <v>2106089479</v>
      </c>
      <c r="C26" s="1" t="s">
        <v>54</v>
      </c>
      <c r="D26" s="1" t="s">
        <v>55</v>
      </c>
      <c r="E26" s="6">
        <v>1</v>
      </c>
      <c r="F26" s="6">
        <v>5</v>
      </c>
      <c r="G26" s="6">
        <v>2</v>
      </c>
      <c r="H26" s="6">
        <f t="shared" si="0"/>
        <v>8</v>
      </c>
      <c r="I26" s="1" t="s">
        <v>77</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86136</dc:creator>
  <cp:lastModifiedBy>Joshua Chu</cp:lastModifiedBy>
  <dcterms:created xsi:type="dcterms:W3CDTF">2023-02-25T03:37:12Z</dcterms:created>
  <dcterms:modified xsi:type="dcterms:W3CDTF">2023-03-01T16:58:50Z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8482F3961F524C0D898837C54D9680EB</vt:lpwstr>
  </property>
  <property fmtid="{D5CDD505-2E9C-101B-9397-08002B2CF9AE}" pid="3" name="KSOProductBuildVer">
    <vt:lpwstr>2052-11.1.0.13703</vt:lpwstr>
  </property>
</Properties>
</file>